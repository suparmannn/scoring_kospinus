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parman\Downloads\"/>
    </mc:Choice>
  </mc:AlternateContent>
  <xr:revisionPtr revIDLastSave="0" documentId="13_ncr:1_{E1367991-24F9-4F7F-9EBE-2EE4B45FDF91}" xr6:coauthVersionLast="47" xr6:coauthVersionMax="47" xr10:uidLastSave="{00000000-0000-0000-0000-000000000000}"/>
  <bookViews>
    <workbookView xWindow="-110" yWindow="-110" windowWidth="19420" windowHeight="10560" xr2:uid="{AACC33A7-37CF-476D-B1D3-95283D2A4A8A}"/>
  </bookViews>
  <sheets>
    <sheet name="MATRIX" sheetId="2" r:id="rId1"/>
    <sheet name="Simulasi Skoring" sheetId="3" r:id="rId2"/>
  </sheet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G28" i="2" l="1"/>
  <c r="G25" i="2"/>
  <c r="G22" i="2"/>
  <c r="G17" i="2"/>
  <c r="G14" i="2"/>
  <c r="G9" i="2"/>
  <c r="G4" i="2"/>
</calcChain>
</file>

<file path=xl/sharedStrings.xml><?xml version="1.0" encoding="utf-8"?>
<sst xmlns="http://schemas.openxmlformats.org/spreadsheetml/2006/main" count="184" uniqueCount="92">
  <si>
    <t>≤ 30%</t>
  </si>
  <si>
    <t>31% – 40%</t>
  </si>
  <si>
    <t>41% – 50%</t>
  </si>
  <si>
    <t>51% – 60%</t>
  </si>
  <si>
    <t>61% – 70%</t>
  </si>
  <si>
    <t>Daya Listrik</t>
  </si>
  <si>
    <t>&gt; 2200 VA</t>
  </si>
  <si>
    <t>2200 VA</t>
  </si>
  <si>
    <t>1300 VA</t>
  </si>
  <si>
    <t>900 VA</t>
  </si>
  <si>
    <t>450 VA</t>
  </si>
  <si>
    <t>Kepemilikan Rumah</t>
  </si>
  <si>
    <t>Milik Keluarga</t>
  </si>
  <si>
    <t>Kontrak / Lainnya</t>
  </si>
  <si>
    <t>Usia</t>
  </si>
  <si>
    <t>&gt; 40 tahun</t>
  </si>
  <si>
    <t>36 – 40 tahun</t>
  </si>
  <si>
    <t>31 – 35 tahun</t>
  </si>
  <si>
    <t>26 – 30 tahun</t>
  </si>
  <si>
    <t>&lt; 25 tahun</t>
  </si>
  <si>
    <t>Status Pernikahan</t>
  </si>
  <si>
    <t>Menikah</t>
  </si>
  <si>
    <t>Cerai</t>
  </si>
  <si>
    <t>Lajang</t>
  </si>
  <si>
    <t>Lama Tinggal</t>
  </si>
  <si>
    <t>5 – 10 Tahun</t>
  </si>
  <si>
    <t>1 – 5 Tahun</t>
  </si>
  <si>
    <t>&lt; 1 Tahun</t>
  </si>
  <si>
    <t xml:space="preserve">0 - 7 Hari </t>
  </si>
  <si>
    <t xml:space="preserve">15 - 30 Hari </t>
  </si>
  <si>
    <t xml:space="preserve">&gt;30 Hari </t>
  </si>
  <si>
    <t>DSR (Debt Service Ratio)
Rasio Angsuran terhadap Pendapatan</t>
  </si>
  <si>
    <t>Parameter</t>
  </si>
  <si>
    <t>Range Kategori</t>
  </si>
  <si>
    <t>481 - 500</t>
  </si>
  <si>
    <t>461 - 480</t>
  </si>
  <si>
    <t>441 - 460</t>
  </si>
  <si>
    <t>421 - 440</t>
  </si>
  <si>
    <t>401 - 420</t>
  </si>
  <si>
    <t>341 - 400</t>
  </si>
  <si>
    <t>≤ 340</t>
  </si>
  <si>
    <t>&gt; 525</t>
  </si>
  <si>
    <t>501 - 525</t>
  </si>
  <si>
    <t>476 - 500</t>
  </si>
  <si>
    <t>451 - 475</t>
  </si>
  <si>
    <t>400 - 450</t>
  </si>
  <si>
    <t>Reject</t>
  </si>
  <si>
    <t>Kategori Score</t>
  </si>
  <si>
    <t>CBI Scoring</t>
  </si>
  <si>
    <t>OK</t>
  </si>
  <si>
    <t xml:space="preserve">Non CBI </t>
  </si>
  <si>
    <t xml:space="preserve">                  UMI  Score    CBI Score</t>
  </si>
  <si>
    <t>MATRIX APPROVAL  NEW DEBITUR</t>
  </si>
  <si>
    <t>MAKSIMAL AGING</t>
  </si>
  <si>
    <t>&lt;426</t>
  </si>
  <si>
    <t xml:space="preserve"> 475 - 426</t>
  </si>
  <si>
    <t>500 - 476</t>
  </si>
  <si>
    <t>525 - 501</t>
  </si>
  <si>
    <t>MATRIX APPROVAL  RO</t>
  </si>
  <si>
    <t xml:space="preserve">8 - 14 Hari </t>
  </si>
  <si>
    <t>Kategori   Score</t>
  </si>
  <si>
    <t>UMI Score</t>
  </si>
  <si>
    <t>Milik Sendiri/Pasangan</t>
  </si>
  <si>
    <t>DPD</t>
  </si>
  <si>
    <t>TUNGGAKAN</t>
  </si>
  <si>
    <t>45 - 1.095 HARI</t>
  </si>
  <si>
    <t>Rp. 3.000.000,-</t>
  </si>
  <si>
    <t xml:space="preserve">Fatal Score </t>
  </si>
  <si>
    <t xml:space="preserve">Fatal Score = Maksimal DPD dan Tunggakan Tidak dapat dibiayai </t>
  </si>
  <si>
    <t xml:space="preserve">KATEGORI NILAI SCORING </t>
  </si>
  <si>
    <t xml:space="preserve">  SCORING INTERNAL </t>
  </si>
  <si>
    <t>x 100</t>
  </si>
  <si>
    <t xml:space="preserve">Scoring Final </t>
  </si>
  <si>
    <t>1 - 399</t>
  </si>
  <si>
    <t>Fatal Score :</t>
  </si>
  <si>
    <r>
      <t xml:space="preserve">Pastdue 3x (dari total  Tenor) dan  Keterlambatan </t>
    </r>
    <r>
      <rPr>
        <sz val="12"/>
        <color theme="1"/>
        <rFont val="Aptos Narrow"/>
        <family val="2"/>
      </rPr>
      <t>≥</t>
    </r>
    <r>
      <rPr>
        <sz val="12"/>
        <color theme="1"/>
        <rFont val="Bahnschrift"/>
        <family val="2"/>
        <charset val="1"/>
      </rPr>
      <t xml:space="preserve"> 7 hari</t>
    </r>
  </si>
  <si>
    <t>60 - 1.095 HARI</t>
  </si>
  <si>
    <t>Rp. 10.000.000,-</t>
  </si>
  <si>
    <t>Score CBI</t>
  </si>
  <si>
    <t>Contoh Simulasi Adalah sbb:</t>
  </si>
  <si>
    <t>Score</t>
  </si>
  <si>
    <t>Tunggakan</t>
  </si>
  <si>
    <t>Keterangan</t>
  </si>
  <si>
    <t>Lolos</t>
  </si>
  <si>
    <t>Rejected</t>
  </si>
  <si>
    <t>Case Tertentu</t>
  </si>
  <si>
    <t>Tidak langsung Auto Reject Tetapi ada proses pengajuan penyimpangan</t>
  </si>
  <si>
    <t>ini mesti ada pada saat di menu marketing saat ajukan slik di mana itu akan ada pengecekan skoring dengan skema cek di bawah ini dengan ketentuan lolos lanjut ke proses credit analis, dan apabila terdapat indikasi skoring mengikuti contoh simulasi di bawah:</t>
  </si>
  <si>
    <t>No</t>
  </si>
  <si>
    <t>role nya di kaops jika ada penyimpangan validasi nya untuk tombol nya revisi ,Rekomendasi (ubah ke verifikasi), tombol pengajua penyimpangan, setelah itu masuk ke KC untuk cek dan ajukan pengajuan ke HO untuk Approval Final</t>
  </si>
  <si>
    <t>BOBOT</t>
  </si>
  <si>
    <t>Point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</si>
</sst>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 #,##0.00_-;_-* &quot;-&quot;??_-;_-@_-"/>
    <numFmt numFmtId="164" formatCode="_-* #,##0_-;\-* #,##0_-;_-* &quot;-&quot;??_-;_-@_-"/>
  </numFmts>
  <fonts count="16" x14ac:knownFonts="1">
    <font>
      <sz val="10"/>
      <color theme="1"/>
      <name val="Aptos Narrow"/>
      <family val="2"/>
      <charset val="1"/>
      <scheme val="minor"/>
    </font>
    <font>
      <b/>
      <sz val="10"/>
      <color rgb="FF000000"/>
      <name val="Bahnschrift"/>
      <family val="2"/>
    </font>
    <font>
      <sz val="10"/>
      <color theme="1"/>
      <name val="Bahnschrift"/>
      <family val="2"/>
    </font>
    <font>
      <sz val="10"/>
      <color rgb="FF000000"/>
      <name val="Bahnschrift"/>
      <family val="2"/>
    </font>
    <font>
      <sz val="10"/>
      <color theme="1"/>
      <name val="Bahnschrift"/>
      <family val="2"/>
      <charset val="1"/>
    </font>
    <font>
      <b/>
      <sz val="10"/>
      <color rgb="FF000000"/>
      <name val="Bahnschrift"/>
      <family val="2"/>
      <charset val="1"/>
    </font>
    <font>
      <sz val="10"/>
      <color rgb="FF000000"/>
      <name val="Bahnschrift"/>
      <family val="2"/>
      <charset val="1"/>
    </font>
    <font>
      <sz val="10"/>
      <name val="Bahnschrift"/>
      <family val="2"/>
      <charset val="1"/>
    </font>
    <font>
      <b/>
      <sz val="10"/>
      <color theme="1"/>
      <name val="Bahnschrift"/>
      <family val="2"/>
    </font>
    <font>
      <b/>
      <sz val="11"/>
      <color theme="1"/>
      <name val="Bahnschrift"/>
      <family val="2"/>
    </font>
    <font>
      <sz val="8"/>
      <color theme="1"/>
      <name val="Bahnschrift"/>
      <family val="2"/>
    </font>
    <font>
      <sz val="12"/>
      <color theme="1"/>
      <name val="Bahnschrift"/>
      <family val="2"/>
    </font>
    <font>
      <b/>
      <sz val="12"/>
      <color theme="1"/>
      <name val="Bahnschrift"/>
      <family val="2"/>
    </font>
    <font>
      <sz val="12"/>
      <color theme="1"/>
      <name val="Bahnschrift"/>
      <family val="2"/>
      <charset val="1"/>
    </font>
    <font>
      <sz val="12"/>
      <color theme="1"/>
      <name val="Aptos Narrow"/>
      <family val="2"/>
    </font>
    <font>
      <sz val="10"/>
      <color theme="1"/>
      <name val="Aptos Narrow"/>
      <family val="2"/>
      <charset val="1"/>
      <scheme val="minor"/>
    </font>
  </fonts>
  <fills count="8">
    <fill>
      <patternFill patternType="none"/>
    </fill>
    <fill>
      <patternFill patternType="gray125"/>
    </fill>
    <fill>
      <patternFill patternType="solid">
        <fgColor rgb="FFDAF2D0"/>
        <bgColor indexed="64"/>
      </patternFill>
    </fill>
    <fill>
      <patternFill patternType="solid">
        <fgColor rgb="FFD9D9D9"/>
        <bgColor indexed="64"/>
      </patternFill>
    </fill>
    <fill>
      <patternFill patternType="solid">
        <fgColor rgb="FFFF0000"/>
        <bgColor indexed="64"/>
      </patternFill>
    </fill>
    <fill>
      <patternFill patternType="solid">
        <fgColor theme="7" tint="0.59999389629810485"/>
        <bgColor indexed="64"/>
      </patternFill>
    </fill>
    <fill>
      <patternFill patternType="solid">
        <fgColor theme="4" tint="0.59999389629810485"/>
        <bgColor indexed="64"/>
      </patternFill>
    </fill>
    <fill>
      <patternFill patternType="solid">
        <fgColor theme="3" tint="0.749992370372631"/>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diagonalDown="1">
      <left style="thin">
        <color rgb="FF000000"/>
      </left>
      <right style="thin">
        <color rgb="FF000000"/>
      </right>
      <top style="thin">
        <color rgb="FF000000"/>
      </top>
      <bottom style="thin">
        <color rgb="FF000000"/>
      </bottom>
      <diagonal style="thin">
        <color rgb="FF000000"/>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s>
  <cellStyleXfs count="2">
    <xf numFmtId="0" fontId="0" fillId="0" borderId="0"/>
    <xf numFmtId="43" fontId="15" fillId="0" borderId="0" applyFont="0" applyFill="0" applyBorder="0" applyAlignment="0" applyProtection="0"/>
  </cellStyleXfs>
  <cellXfs count="41">
    <xf numFmtId="0" fontId="0" fillId="0" borderId="0" xfId="0"/>
    <xf numFmtId="0" fontId="1" fillId="0" borderId="3" xfId="0" applyFont="1" applyBorder="1" applyAlignment="1">
      <alignment horizontal="center" vertical="center" wrapText="1" readingOrder="1"/>
    </xf>
    <xf numFmtId="0" fontId="2" fillId="0" borderId="0" xfId="0" applyFont="1"/>
    <xf numFmtId="0" fontId="4" fillId="0" borderId="0" xfId="0" applyFont="1"/>
    <xf numFmtId="0" fontId="5" fillId="0" borderId="2" xfId="0" applyFont="1" applyBorder="1" applyAlignment="1">
      <alignment horizontal="left" vertical="center" wrapText="1" readingOrder="1"/>
    </xf>
    <xf numFmtId="0" fontId="5" fillId="0" borderId="3" xfId="0" applyFont="1" applyBorder="1" applyAlignment="1">
      <alignment horizontal="center" vertical="center" wrapText="1" readingOrder="1"/>
    </xf>
    <xf numFmtId="0" fontId="6" fillId="0" borderId="3" xfId="0" applyFont="1" applyBorder="1" applyAlignment="1">
      <alignment horizontal="center" vertical="center" wrapText="1" readingOrder="1"/>
    </xf>
    <xf numFmtId="0" fontId="7" fillId="2" borderId="3" xfId="0" applyFont="1" applyFill="1" applyBorder="1" applyAlignment="1">
      <alignment horizontal="center" vertical="center" wrapText="1"/>
    </xf>
    <xf numFmtId="0" fontId="7" fillId="4" borderId="3" xfId="0" applyFont="1" applyFill="1" applyBorder="1" applyAlignment="1">
      <alignment horizontal="center" vertical="center" wrapText="1"/>
    </xf>
    <xf numFmtId="0" fontId="9" fillId="0" borderId="0" xfId="0" applyFont="1"/>
    <xf numFmtId="0" fontId="7" fillId="2" borderId="4" xfId="0" applyFont="1" applyFill="1" applyBorder="1" applyAlignment="1">
      <alignment horizontal="center" vertical="center" wrapText="1"/>
    </xf>
    <xf numFmtId="0" fontId="7" fillId="4" borderId="4" xfId="0" applyFont="1" applyFill="1" applyBorder="1" applyAlignment="1">
      <alignment horizontal="center" vertical="center" wrapText="1"/>
    </xf>
    <xf numFmtId="0" fontId="1" fillId="0" borderId="4" xfId="0" applyFont="1" applyBorder="1" applyAlignment="1">
      <alignment horizontal="center" vertical="center" wrapText="1" readingOrder="1"/>
    </xf>
    <xf numFmtId="0" fontId="8" fillId="0" borderId="0" xfId="0" applyFont="1" applyAlignment="1">
      <alignment horizontal="center"/>
    </xf>
    <xf numFmtId="0" fontId="8" fillId="0" borderId="1" xfId="0" applyFont="1" applyBorder="1" applyAlignment="1">
      <alignment horizontal="center"/>
    </xf>
    <xf numFmtId="0" fontId="2" fillId="0" borderId="1" xfId="0" applyFont="1" applyBorder="1" applyAlignment="1">
      <alignment horizontal="center" vertical="center" wrapText="1"/>
    </xf>
    <xf numFmtId="0" fontId="4" fillId="0" borderId="0" xfId="0" applyFont="1" applyAlignment="1">
      <alignment horizontal="right"/>
    </xf>
    <xf numFmtId="0" fontId="9" fillId="0" borderId="0" xfId="0" applyFont="1" applyAlignment="1">
      <alignment horizontal="center" vertical="center"/>
    </xf>
    <xf numFmtId="0" fontId="1" fillId="3" borderId="1" xfId="0" applyFont="1" applyFill="1" applyBorder="1" applyAlignment="1">
      <alignment horizontal="center" vertical="center" wrapText="1" readingOrder="1"/>
    </xf>
    <xf numFmtId="0" fontId="3" fillId="0" borderId="1" xfId="0" applyFont="1" applyBorder="1" applyAlignment="1">
      <alignment horizontal="center" vertical="center" wrapText="1" readingOrder="1"/>
    </xf>
    <xf numFmtId="0" fontId="10" fillId="0" borderId="0" xfId="0" applyFont="1"/>
    <xf numFmtId="0" fontId="11" fillId="0" borderId="0" xfId="0" applyFont="1"/>
    <xf numFmtId="0" fontId="2" fillId="0" borderId="0" xfId="0" applyFont="1" applyAlignment="1">
      <alignment horizontal="center"/>
    </xf>
    <xf numFmtId="0" fontId="4" fillId="0" borderId="0" xfId="0" applyFont="1" applyAlignment="1">
      <alignment horizontal="center"/>
    </xf>
    <xf numFmtId="0" fontId="12" fillId="0" borderId="0" xfId="0" applyFont="1" applyAlignment="1">
      <alignment horizontal="center" vertical="center"/>
    </xf>
    <xf numFmtId="0" fontId="13" fillId="0" borderId="0" xfId="0" applyFont="1"/>
    <xf numFmtId="164" fontId="0" fillId="0" borderId="0" xfId="1" applyNumberFormat="1" applyFont="1"/>
    <xf numFmtId="0" fontId="0" fillId="0" borderId="1" xfId="0" applyBorder="1" applyAlignment="1">
      <alignment horizontal="center"/>
    </xf>
    <xf numFmtId="0" fontId="0" fillId="0" borderId="1" xfId="0" applyBorder="1" applyAlignment="1">
      <alignment horizontal="center" vertical="center"/>
    </xf>
    <xf numFmtId="164" fontId="0" fillId="0" borderId="1" xfId="1" applyNumberFormat="1" applyFont="1" applyBorder="1" applyAlignment="1">
      <alignment horizontal="center" vertical="center"/>
    </xf>
    <xf numFmtId="0" fontId="0" fillId="0" borderId="1" xfId="0" applyBorder="1" applyAlignment="1">
      <alignment horizontal="center" vertical="center" wrapText="1"/>
    </xf>
    <xf numFmtId="0" fontId="0" fillId="7" borderId="1" xfId="0" applyFill="1" applyBorder="1" applyAlignment="1">
      <alignment horizontal="center"/>
    </xf>
    <xf numFmtId="164" fontId="0" fillId="7" borderId="1" xfId="1" applyNumberFormat="1" applyFont="1" applyFill="1" applyBorder="1" applyAlignment="1">
      <alignment horizontal="center"/>
    </xf>
    <xf numFmtId="0" fontId="0" fillId="0" borderId="0" xfId="0" applyAlignment="1">
      <alignment vertical="top" wrapText="1"/>
    </xf>
    <xf numFmtId="9" fontId="2" fillId="0" borderId="1" xfId="0" applyNumberFormat="1" applyFont="1" applyBorder="1" applyAlignment="1">
      <alignment horizontal="center" vertical="center" wrapText="1"/>
    </xf>
    <xf numFmtId="0" fontId="8" fillId="0" borderId="1" xfId="0" applyFont="1" applyBorder="1" applyAlignment="1">
      <alignment horizontal="center" vertical="center" wrapText="1"/>
    </xf>
    <xf numFmtId="0" fontId="12" fillId="5" borderId="0" xfId="0" applyFont="1" applyFill="1" applyAlignment="1">
      <alignment horizontal="center" vertical="center"/>
    </xf>
    <xf numFmtId="0" fontId="12" fillId="6" borderId="1" xfId="0" applyFont="1" applyFill="1" applyBorder="1" applyAlignment="1">
      <alignment horizontal="center"/>
    </xf>
    <xf numFmtId="0" fontId="12" fillId="5" borderId="0" xfId="0" applyFont="1" applyFill="1" applyAlignment="1">
      <alignment horizontal="center"/>
    </xf>
    <xf numFmtId="0" fontId="9" fillId="5" borderId="0" xfId="0" applyFont="1" applyFill="1" applyAlignment="1">
      <alignment horizontal="center" vertical="center"/>
    </xf>
    <xf numFmtId="9" fontId="2" fillId="0" borderId="1" xfId="0" applyNumberFormat="1" applyFont="1" applyBorder="1" applyAlignment="1">
      <alignment vertical="center" wrapText="1"/>
    </xf>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48A4FC-68F6-42AC-A22B-74347065EE3B}">
  <dimension ref="A1:L51"/>
  <sheetViews>
    <sheetView showGridLines="0" tabSelected="1" topLeftCell="A35" workbookViewId="0">
      <selection activeCell="I25" sqref="I25"/>
    </sheetView>
  </sheetViews>
  <sheetFormatPr defaultColWidth="15.69921875" defaultRowHeight="12.5" x14ac:dyDescent="0.25"/>
  <cols>
    <col min="1" max="1" width="15.69921875" style="3"/>
    <col min="2" max="2" width="21" style="3" customWidth="1"/>
    <col min="3" max="3" width="16.59765625" style="3" customWidth="1"/>
    <col min="4" max="4" width="16.3984375" style="3" customWidth="1"/>
    <col min="5" max="9" width="16.59765625" style="3" customWidth="1"/>
    <col min="10" max="10" width="15.59765625" style="3" bestFit="1" customWidth="1"/>
    <col min="11" max="11" width="14.19921875" style="3" customWidth="1"/>
    <col min="12" max="16384" width="15.69921875" style="3"/>
  </cols>
  <sheetData>
    <row r="1" spans="2:12" s="21" customFormat="1" ht="15" x14ac:dyDescent="0.3">
      <c r="B1" s="36" t="s">
        <v>70</v>
      </c>
      <c r="C1" s="36"/>
      <c r="D1" s="36"/>
      <c r="E1" s="36"/>
      <c r="F1" s="36"/>
      <c r="H1" s="36" t="s">
        <v>69</v>
      </c>
      <c r="I1" s="36"/>
      <c r="J1" s="36"/>
      <c r="K1" s="36"/>
      <c r="L1" s="36"/>
    </row>
    <row r="2" spans="2:12" s="21" customFormat="1" ht="15" x14ac:dyDescent="0.3">
      <c r="B2" s="24"/>
      <c r="C2" s="24"/>
      <c r="D2" s="24"/>
      <c r="E2" s="24"/>
      <c r="F2" s="24"/>
      <c r="H2" s="24"/>
      <c r="I2" s="24"/>
      <c r="J2" s="24"/>
      <c r="K2" s="24"/>
      <c r="L2" s="24"/>
    </row>
    <row r="3" spans="2:12" s="2" customFormat="1" ht="25" x14ac:dyDescent="0.25">
      <c r="B3" s="18" t="s">
        <v>32</v>
      </c>
      <c r="C3" s="18" t="s">
        <v>33</v>
      </c>
      <c r="D3" s="18" t="s">
        <v>91</v>
      </c>
      <c r="E3" s="18" t="s">
        <v>90</v>
      </c>
      <c r="G3" s="18" t="s">
        <v>72</v>
      </c>
      <c r="H3" s="18" t="s">
        <v>47</v>
      </c>
      <c r="I3" s="18" t="s">
        <v>48</v>
      </c>
      <c r="K3" s="18" t="s">
        <v>60</v>
      </c>
      <c r="L3" s="18" t="s">
        <v>61</v>
      </c>
    </row>
    <row r="4" spans="2:12" s="2" customFormat="1" x14ac:dyDescent="0.25">
      <c r="B4" s="35" t="s">
        <v>31</v>
      </c>
      <c r="C4" s="15" t="s">
        <v>0</v>
      </c>
      <c r="D4" s="15">
        <v>5</v>
      </c>
      <c r="E4" s="40">
        <v>0.15</v>
      </c>
      <c r="F4" s="34" t="s">
        <v>71</v>
      </c>
      <c r="G4" s="22">
        <f>$D4*$E4*100</f>
        <v>75</v>
      </c>
      <c r="H4" s="19">
        <v>6</v>
      </c>
      <c r="I4" s="19" t="s">
        <v>41</v>
      </c>
      <c r="K4" s="19">
        <v>7</v>
      </c>
      <c r="L4" s="19" t="s">
        <v>34</v>
      </c>
    </row>
    <row r="5" spans="2:12" s="2" customFormat="1" x14ac:dyDescent="0.25">
      <c r="B5" s="35"/>
      <c r="C5" s="15" t="s">
        <v>1</v>
      </c>
      <c r="D5" s="15">
        <v>4</v>
      </c>
      <c r="E5" s="40">
        <v>0.15</v>
      </c>
      <c r="F5" s="34"/>
      <c r="G5" s="22"/>
      <c r="H5" s="19">
        <v>5</v>
      </c>
      <c r="I5" s="19" t="s">
        <v>42</v>
      </c>
      <c r="K5" s="19">
        <v>6</v>
      </c>
      <c r="L5" s="19" t="s">
        <v>35</v>
      </c>
    </row>
    <row r="6" spans="2:12" s="2" customFormat="1" x14ac:dyDescent="0.25">
      <c r="B6" s="35"/>
      <c r="C6" s="15" t="s">
        <v>2</v>
      </c>
      <c r="D6" s="15">
        <v>3</v>
      </c>
      <c r="E6" s="40">
        <v>0.15</v>
      </c>
      <c r="F6" s="34"/>
      <c r="G6" s="22"/>
      <c r="H6" s="19">
        <v>4</v>
      </c>
      <c r="I6" s="19" t="s">
        <v>43</v>
      </c>
      <c r="K6" s="19">
        <v>5</v>
      </c>
      <c r="L6" s="19" t="s">
        <v>36</v>
      </c>
    </row>
    <row r="7" spans="2:12" s="2" customFormat="1" x14ac:dyDescent="0.25">
      <c r="B7" s="35"/>
      <c r="C7" s="15" t="s">
        <v>3</v>
      </c>
      <c r="D7" s="15">
        <v>2</v>
      </c>
      <c r="E7" s="40">
        <v>0.15</v>
      </c>
      <c r="F7" s="34"/>
      <c r="G7" s="22"/>
      <c r="H7" s="19">
        <v>3</v>
      </c>
      <c r="I7" s="19" t="s">
        <v>44</v>
      </c>
      <c r="K7" s="19">
        <v>4</v>
      </c>
      <c r="L7" s="19" t="s">
        <v>37</v>
      </c>
    </row>
    <row r="8" spans="2:12" s="2" customFormat="1" x14ac:dyDescent="0.25">
      <c r="B8" s="35"/>
      <c r="C8" s="15" t="s">
        <v>4</v>
      </c>
      <c r="D8" s="15">
        <v>1</v>
      </c>
      <c r="E8" s="40">
        <v>0.15</v>
      </c>
      <c r="F8" s="34"/>
      <c r="G8" s="22"/>
      <c r="H8" s="19">
        <v>2</v>
      </c>
      <c r="I8" s="19" t="s">
        <v>45</v>
      </c>
      <c r="K8" s="19">
        <v>3</v>
      </c>
      <c r="L8" s="19" t="s">
        <v>38</v>
      </c>
    </row>
    <row r="9" spans="2:12" s="2" customFormat="1" x14ac:dyDescent="0.25">
      <c r="B9" s="35" t="s">
        <v>5</v>
      </c>
      <c r="C9" s="15" t="s">
        <v>6</v>
      </c>
      <c r="D9" s="15">
        <v>1</v>
      </c>
      <c r="E9" s="40">
        <v>0.15</v>
      </c>
      <c r="F9" s="34" t="s">
        <v>71</v>
      </c>
      <c r="G9" s="22">
        <f>$D11*E9*100</f>
        <v>75</v>
      </c>
      <c r="H9" s="19">
        <v>1</v>
      </c>
      <c r="I9" s="19" t="s">
        <v>73</v>
      </c>
      <c r="K9" s="19">
        <v>2</v>
      </c>
      <c r="L9" s="19" t="s">
        <v>39</v>
      </c>
    </row>
    <row r="10" spans="2:12" s="2" customFormat="1" x14ac:dyDescent="0.25">
      <c r="B10" s="35"/>
      <c r="C10" s="15" t="s">
        <v>7</v>
      </c>
      <c r="D10" s="15">
        <v>2</v>
      </c>
      <c r="E10" s="40">
        <v>0.15</v>
      </c>
      <c r="F10" s="34"/>
      <c r="G10" s="22"/>
      <c r="K10" s="19">
        <v>1</v>
      </c>
      <c r="L10" s="19" t="s">
        <v>40</v>
      </c>
    </row>
    <row r="11" spans="2:12" s="2" customFormat="1" x14ac:dyDescent="0.25">
      <c r="B11" s="35"/>
      <c r="C11" s="15" t="s">
        <v>8</v>
      </c>
      <c r="D11" s="15">
        <v>5</v>
      </c>
      <c r="E11" s="40">
        <v>0.15</v>
      </c>
      <c r="F11" s="34"/>
      <c r="G11" s="22"/>
    </row>
    <row r="12" spans="2:12" s="2" customFormat="1" x14ac:dyDescent="0.25">
      <c r="B12" s="35"/>
      <c r="C12" s="15" t="s">
        <v>9</v>
      </c>
      <c r="D12" s="15">
        <v>4</v>
      </c>
      <c r="E12" s="40">
        <v>0.15</v>
      </c>
      <c r="F12" s="34"/>
      <c r="G12" s="22"/>
    </row>
    <row r="13" spans="2:12" s="2" customFormat="1" ht="15" x14ac:dyDescent="0.3">
      <c r="B13" s="35"/>
      <c r="C13" s="15" t="s">
        <v>10</v>
      </c>
      <c r="D13" s="15">
        <v>3</v>
      </c>
      <c r="E13" s="40">
        <v>0.15</v>
      </c>
      <c r="F13" s="34"/>
      <c r="G13" s="22"/>
      <c r="H13" s="37" t="s">
        <v>67</v>
      </c>
      <c r="I13" s="37"/>
    </row>
    <row r="14" spans="2:12" s="2" customFormat="1" ht="37.5" x14ac:dyDescent="0.25">
      <c r="B14" s="35" t="s">
        <v>11</v>
      </c>
      <c r="C14" s="15" t="s">
        <v>62</v>
      </c>
      <c r="D14" s="15">
        <v>5</v>
      </c>
      <c r="E14" s="40">
        <v>0.25</v>
      </c>
      <c r="F14" s="34" t="s">
        <v>71</v>
      </c>
      <c r="G14" s="22">
        <f>$D14*E14*100</f>
        <v>125</v>
      </c>
      <c r="H14" s="18" t="s">
        <v>63</v>
      </c>
      <c r="I14" s="18" t="s">
        <v>64</v>
      </c>
    </row>
    <row r="15" spans="2:12" s="2" customFormat="1" x14ac:dyDescent="0.25">
      <c r="B15" s="35"/>
      <c r="C15" s="15" t="s">
        <v>12</v>
      </c>
      <c r="D15" s="15">
        <v>3</v>
      </c>
      <c r="E15" s="40">
        <v>0.25</v>
      </c>
      <c r="F15" s="34"/>
      <c r="G15" s="22"/>
      <c r="H15" s="19" t="s">
        <v>65</v>
      </c>
      <c r="I15" s="19" t="s">
        <v>66</v>
      </c>
    </row>
    <row r="16" spans="2:12" s="2" customFormat="1" ht="25" x14ac:dyDescent="0.25">
      <c r="B16" s="35"/>
      <c r="C16" s="15" t="s">
        <v>13</v>
      </c>
      <c r="D16" s="15">
        <v>1</v>
      </c>
      <c r="E16" s="40">
        <v>0.25</v>
      </c>
      <c r="F16" s="34"/>
      <c r="G16" s="22"/>
      <c r="H16" s="20" t="s">
        <v>68</v>
      </c>
    </row>
    <row r="17" spans="2:9" s="2" customFormat="1" x14ac:dyDescent="0.25">
      <c r="B17" s="35" t="s">
        <v>14</v>
      </c>
      <c r="C17" s="15" t="s">
        <v>15</v>
      </c>
      <c r="D17" s="15">
        <v>5</v>
      </c>
      <c r="E17" s="40">
        <v>0.15</v>
      </c>
      <c r="F17" s="34" t="s">
        <v>71</v>
      </c>
      <c r="G17" s="22">
        <f>$D17*E17*100</f>
        <v>75</v>
      </c>
    </row>
    <row r="18" spans="2:9" s="2" customFormat="1" x14ac:dyDescent="0.25">
      <c r="B18" s="35"/>
      <c r="C18" s="15" t="s">
        <v>16</v>
      </c>
      <c r="D18" s="15">
        <v>4</v>
      </c>
      <c r="E18" s="40">
        <v>0.15</v>
      </c>
      <c r="F18" s="34"/>
      <c r="G18" s="22"/>
    </row>
    <row r="19" spans="2:9" s="2" customFormat="1" x14ac:dyDescent="0.25">
      <c r="B19" s="35"/>
      <c r="C19" s="15" t="s">
        <v>17</v>
      </c>
      <c r="D19" s="15">
        <v>3</v>
      </c>
      <c r="E19" s="40">
        <v>0.15</v>
      </c>
      <c r="F19" s="34"/>
      <c r="G19" s="22"/>
    </row>
    <row r="20" spans="2:9" s="2" customFormat="1" x14ac:dyDescent="0.25">
      <c r="B20" s="35"/>
      <c r="C20" s="15" t="s">
        <v>18</v>
      </c>
      <c r="D20" s="15">
        <v>2</v>
      </c>
      <c r="E20" s="40">
        <v>0.15</v>
      </c>
      <c r="F20" s="34"/>
      <c r="G20" s="22"/>
    </row>
    <row r="21" spans="2:9" s="2" customFormat="1" x14ac:dyDescent="0.25">
      <c r="B21" s="35"/>
      <c r="C21" s="15" t="s">
        <v>19</v>
      </c>
      <c r="D21" s="15">
        <v>1</v>
      </c>
      <c r="E21" s="40">
        <v>0.15</v>
      </c>
      <c r="F21" s="34"/>
      <c r="G21" s="22"/>
    </row>
    <row r="22" spans="2:9" s="2" customFormat="1" x14ac:dyDescent="0.25">
      <c r="B22" s="35" t="s">
        <v>20</v>
      </c>
      <c r="C22" s="15" t="s">
        <v>21</v>
      </c>
      <c r="D22" s="15">
        <v>5</v>
      </c>
      <c r="E22" s="40">
        <v>0.15</v>
      </c>
      <c r="F22" s="34" t="s">
        <v>71</v>
      </c>
      <c r="G22" s="22">
        <f>$D22*E22*100</f>
        <v>75</v>
      </c>
    </row>
    <row r="23" spans="2:9" s="2" customFormat="1" x14ac:dyDescent="0.25">
      <c r="B23" s="35"/>
      <c r="C23" s="15" t="s">
        <v>22</v>
      </c>
      <c r="D23" s="15">
        <v>3</v>
      </c>
      <c r="E23" s="40">
        <v>0.15</v>
      </c>
      <c r="F23" s="34"/>
      <c r="G23" s="22"/>
    </row>
    <row r="24" spans="2:9" s="2" customFormat="1" x14ac:dyDescent="0.25">
      <c r="B24" s="35"/>
      <c r="C24" s="15" t="s">
        <v>23</v>
      </c>
      <c r="D24" s="15">
        <v>1</v>
      </c>
      <c r="E24" s="40">
        <v>0.15</v>
      </c>
      <c r="F24" s="34"/>
      <c r="G24" s="22"/>
    </row>
    <row r="25" spans="2:9" s="2" customFormat="1" x14ac:dyDescent="0.25">
      <c r="B25" s="35" t="s">
        <v>24</v>
      </c>
      <c r="C25" s="15" t="s">
        <v>25</v>
      </c>
      <c r="D25" s="15">
        <v>5</v>
      </c>
      <c r="E25" s="40">
        <v>0.15</v>
      </c>
      <c r="F25" s="34" t="s">
        <v>71</v>
      </c>
      <c r="G25" s="22">
        <f>$D25*E25*100</f>
        <v>75</v>
      </c>
    </row>
    <row r="26" spans="2:9" s="2" customFormat="1" x14ac:dyDescent="0.25">
      <c r="B26" s="35"/>
      <c r="C26" s="15" t="s">
        <v>26</v>
      </c>
      <c r="D26" s="15">
        <v>3</v>
      </c>
      <c r="E26" s="40">
        <v>0.15</v>
      </c>
      <c r="F26" s="34"/>
      <c r="G26" s="22"/>
    </row>
    <row r="27" spans="2:9" s="2" customFormat="1" x14ac:dyDescent="0.25">
      <c r="B27" s="35"/>
      <c r="C27" s="15" t="s">
        <v>27</v>
      </c>
      <c r="D27" s="15">
        <v>1</v>
      </c>
      <c r="E27" s="40">
        <v>0.15</v>
      </c>
      <c r="F27" s="34"/>
      <c r="G27" s="22"/>
    </row>
    <row r="28" spans="2:9" x14ac:dyDescent="0.25">
      <c r="G28" s="23">
        <f>SUM(G4:G27)</f>
        <v>500</v>
      </c>
    </row>
    <row r="30" spans="2:9" s="9" customFormat="1" ht="15" x14ac:dyDescent="0.3">
      <c r="B30" s="38" t="s">
        <v>52</v>
      </c>
      <c r="C30" s="38"/>
      <c r="D30" s="38"/>
      <c r="E30" s="38"/>
      <c r="F30" s="38"/>
      <c r="G30" s="38"/>
      <c r="H30" s="38"/>
      <c r="I30" s="38"/>
    </row>
    <row r="31" spans="2:9" s="9" customFormat="1" ht="14" x14ac:dyDescent="0.3">
      <c r="C31" s="17">
        <v>7</v>
      </c>
      <c r="D31" s="17">
        <v>6</v>
      </c>
      <c r="E31" s="17">
        <v>5</v>
      </c>
      <c r="F31" s="17">
        <v>4</v>
      </c>
      <c r="G31" s="17">
        <v>3</v>
      </c>
      <c r="H31" s="17">
        <v>2</v>
      </c>
      <c r="I31" s="17">
        <v>1</v>
      </c>
    </row>
    <row r="32" spans="2:9" ht="25" x14ac:dyDescent="0.25">
      <c r="B32" s="4" t="s">
        <v>51</v>
      </c>
      <c r="C32" s="5" t="s">
        <v>34</v>
      </c>
      <c r="D32" s="5" t="s">
        <v>35</v>
      </c>
      <c r="E32" s="5" t="s">
        <v>36</v>
      </c>
      <c r="F32" s="5" t="s">
        <v>37</v>
      </c>
      <c r="G32" s="5" t="s">
        <v>38</v>
      </c>
      <c r="H32" s="5" t="s">
        <v>39</v>
      </c>
      <c r="I32" s="5" t="s">
        <v>40</v>
      </c>
    </row>
    <row r="33" spans="1:9" x14ac:dyDescent="0.25">
      <c r="A33" s="16">
        <v>6</v>
      </c>
      <c r="B33" s="6" t="s">
        <v>41</v>
      </c>
      <c r="C33" s="7" t="s">
        <v>49</v>
      </c>
      <c r="D33" s="7" t="s">
        <v>49</v>
      </c>
      <c r="E33" s="7" t="s">
        <v>49</v>
      </c>
      <c r="F33" s="7" t="s">
        <v>49</v>
      </c>
      <c r="G33" s="7" t="s">
        <v>49</v>
      </c>
      <c r="H33" s="8" t="s">
        <v>46</v>
      </c>
      <c r="I33" s="8" t="s">
        <v>46</v>
      </c>
    </row>
    <row r="34" spans="1:9" x14ac:dyDescent="0.25">
      <c r="A34" s="16">
        <v>5</v>
      </c>
      <c r="B34" s="6" t="s">
        <v>42</v>
      </c>
      <c r="C34" s="7" t="s">
        <v>49</v>
      </c>
      <c r="D34" s="7" t="s">
        <v>49</v>
      </c>
      <c r="E34" s="7" t="s">
        <v>49</v>
      </c>
      <c r="F34" s="7" t="s">
        <v>49</v>
      </c>
      <c r="G34" s="7" t="s">
        <v>49</v>
      </c>
      <c r="H34" s="8" t="s">
        <v>46</v>
      </c>
      <c r="I34" s="8" t="s">
        <v>46</v>
      </c>
    </row>
    <row r="35" spans="1:9" x14ac:dyDescent="0.25">
      <c r="A35" s="16">
        <v>4</v>
      </c>
      <c r="B35" s="6" t="s">
        <v>43</v>
      </c>
      <c r="C35" s="7" t="s">
        <v>49</v>
      </c>
      <c r="D35" s="7" t="s">
        <v>49</v>
      </c>
      <c r="E35" s="7" t="s">
        <v>49</v>
      </c>
      <c r="F35" s="7" t="s">
        <v>49</v>
      </c>
      <c r="G35" s="7" t="s">
        <v>49</v>
      </c>
      <c r="H35" s="8" t="s">
        <v>46</v>
      </c>
      <c r="I35" s="8" t="s">
        <v>46</v>
      </c>
    </row>
    <row r="36" spans="1:9" x14ac:dyDescent="0.25">
      <c r="A36" s="16">
        <v>3</v>
      </c>
      <c r="B36" s="6" t="s">
        <v>44</v>
      </c>
      <c r="C36" s="7" t="s">
        <v>49</v>
      </c>
      <c r="D36" s="7" t="s">
        <v>49</v>
      </c>
      <c r="E36" s="7" t="s">
        <v>49</v>
      </c>
      <c r="F36" s="7" t="s">
        <v>49</v>
      </c>
      <c r="G36" s="7" t="s">
        <v>49</v>
      </c>
      <c r="H36" s="8" t="s">
        <v>46</v>
      </c>
      <c r="I36" s="8" t="s">
        <v>46</v>
      </c>
    </row>
    <row r="37" spans="1:9" x14ac:dyDescent="0.25">
      <c r="A37" s="16">
        <v>2</v>
      </c>
      <c r="B37" s="6" t="s">
        <v>45</v>
      </c>
      <c r="C37" s="7" t="s">
        <v>49</v>
      </c>
      <c r="D37" s="7" t="s">
        <v>49</v>
      </c>
      <c r="E37" s="7" t="s">
        <v>49</v>
      </c>
      <c r="F37" s="7" t="s">
        <v>49</v>
      </c>
      <c r="G37" s="7" t="s">
        <v>49</v>
      </c>
      <c r="H37" s="8" t="s">
        <v>46</v>
      </c>
      <c r="I37" s="8" t="s">
        <v>46</v>
      </c>
    </row>
    <row r="38" spans="1:9" x14ac:dyDescent="0.25">
      <c r="A38" s="16">
        <v>1</v>
      </c>
      <c r="B38" s="6" t="s">
        <v>73</v>
      </c>
      <c r="C38" s="8" t="s">
        <v>46</v>
      </c>
      <c r="D38" s="8" t="s">
        <v>46</v>
      </c>
      <c r="E38" s="8" t="s">
        <v>46</v>
      </c>
      <c r="F38" s="8" t="s">
        <v>46</v>
      </c>
      <c r="G38" s="8" t="s">
        <v>46</v>
      </c>
      <c r="H38" s="8" t="s">
        <v>46</v>
      </c>
      <c r="I38" s="8" t="s">
        <v>46</v>
      </c>
    </row>
    <row r="39" spans="1:9" x14ac:dyDescent="0.25">
      <c r="A39" s="16">
        <v>0</v>
      </c>
      <c r="B39" s="6" t="s">
        <v>50</v>
      </c>
      <c r="C39" s="7" t="s">
        <v>49</v>
      </c>
      <c r="D39" s="7" t="s">
        <v>49</v>
      </c>
      <c r="E39" s="7" t="s">
        <v>49</v>
      </c>
      <c r="F39" s="7" t="s">
        <v>49</v>
      </c>
      <c r="G39" s="7" t="s">
        <v>49</v>
      </c>
      <c r="H39" s="8" t="s">
        <v>46</v>
      </c>
      <c r="I39" s="8" t="s">
        <v>46</v>
      </c>
    </row>
    <row r="43" spans="1:9" ht="14" x14ac:dyDescent="0.25">
      <c r="B43" s="39" t="s">
        <v>58</v>
      </c>
      <c r="C43" s="39"/>
      <c r="D43" s="39"/>
      <c r="E43" s="39"/>
      <c r="F43" s="39"/>
      <c r="G43" s="39"/>
    </row>
    <row r="44" spans="1:9" ht="14" x14ac:dyDescent="0.25">
      <c r="B44" s="17"/>
      <c r="C44" s="17"/>
      <c r="D44" s="17"/>
      <c r="E44" s="17"/>
      <c r="F44" s="17"/>
      <c r="G44" s="17"/>
    </row>
    <row r="45" spans="1:9" s="13" customFormat="1" x14ac:dyDescent="0.25">
      <c r="B45" s="14" t="s">
        <v>53</v>
      </c>
      <c r="C45" s="12" t="s">
        <v>41</v>
      </c>
      <c r="D45" s="1" t="s">
        <v>57</v>
      </c>
      <c r="E45" s="1" t="s">
        <v>56</v>
      </c>
      <c r="F45" s="1" t="s">
        <v>55</v>
      </c>
      <c r="G45" s="1" t="s">
        <v>54</v>
      </c>
    </row>
    <row r="46" spans="1:9" x14ac:dyDescent="0.25">
      <c r="B46" s="6" t="s">
        <v>28</v>
      </c>
      <c r="C46" s="10" t="s">
        <v>49</v>
      </c>
      <c r="D46" s="7" t="s">
        <v>49</v>
      </c>
      <c r="E46" s="7" t="s">
        <v>49</v>
      </c>
      <c r="F46" s="7" t="s">
        <v>49</v>
      </c>
      <c r="G46" s="7" t="s">
        <v>49</v>
      </c>
    </row>
    <row r="47" spans="1:9" x14ac:dyDescent="0.25">
      <c r="B47" s="6" t="s">
        <v>59</v>
      </c>
      <c r="C47" s="10" t="s">
        <v>49</v>
      </c>
      <c r="D47" s="7" t="s">
        <v>49</v>
      </c>
      <c r="E47" s="7" t="s">
        <v>49</v>
      </c>
      <c r="F47" s="7" t="s">
        <v>49</v>
      </c>
      <c r="G47" s="8" t="s">
        <v>46</v>
      </c>
    </row>
    <row r="48" spans="1:9" x14ac:dyDescent="0.25">
      <c r="B48" s="6" t="s">
        <v>29</v>
      </c>
      <c r="C48" s="10" t="s">
        <v>49</v>
      </c>
      <c r="D48" s="7" t="s">
        <v>49</v>
      </c>
      <c r="E48" s="7" t="s">
        <v>49</v>
      </c>
      <c r="F48" s="8" t="s">
        <v>46</v>
      </c>
      <c r="G48" s="8" t="s">
        <v>46</v>
      </c>
    </row>
    <row r="49" spans="2:7" x14ac:dyDescent="0.25">
      <c r="B49" s="6" t="s">
        <v>30</v>
      </c>
      <c r="C49" s="11" t="s">
        <v>46</v>
      </c>
      <c r="D49" s="8" t="s">
        <v>46</v>
      </c>
      <c r="E49" s="8" t="s">
        <v>46</v>
      </c>
      <c r="F49" s="8" t="s">
        <v>46</v>
      </c>
      <c r="G49" s="8" t="s">
        <v>46</v>
      </c>
    </row>
    <row r="51" spans="2:7" s="25" customFormat="1" ht="16" x14ac:dyDescent="0.4">
      <c r="B51" s="25" t="s">
        <v>74</v>
      </c>
      <c r="C51" s="25" t="s">
        <v>75</v>
      </c>
    </row>
  </sheetData>
  <mergeCells count="17">
    <mergeCell ref="B30:I30"/>
    <mergeCell ref="B43:G43"/>
    <mergeCell ref="B25:B27"/>
    <mergeCell ref="H1:L1"/>
    <mergeCell ref="H13:I13"/>
    <mergeCell ref="B4:B8"/>
    <mergeCell ref="B9:B13"/>
    <mergeCell ref="B1:F1"/>
    <mergeCell ref="F4:F8"/>
    <mergeCell ref="F9:F13"/>
    <mergeCell ref="F14:F16"/>
    <mergeCell ref="F17:F21"/>
    <mergeCell ref="F22:F24"/>
    <mergeCell ref="F25:F27"/>
    <mergeCell ref="B14:B16"/>
    <mergeCell ref="B17:B21"/>
    <mergeCell ref="B22:B24"/>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7A5429-6C93-4522-80ED-0E67F4C720F4}">
  <dimension ref="A1:J10"/>
  <sheetViews>
    <sheetView workbookViewId="0">
      <selection activeCell="J20" sqref="J20"/>
    </sheetView>
  </sheetViews>
  <sheetFormatPr defaultRowHeight="13" x14ac:dyDescent="0.3"/>
  <cols>
    <col min="1" max="1" width="22.8984375" customWidth="1"/>
    <col min="2" max="2" width="24.69921875" customWidth="1"/>
    <col min="4" max="4" width="4.796875" customWidth="1"/>
    <col min="7" max="7" width="15.69921875" style="26" bestFit="1" customWidth="1"/>
    <col min="8" max="8" width="10" bestFit="1" customWidth="1"/>
    <col min="9" max="9" width="15.8984375" customWidth="1"/>
    <col min="10" max="10" width="37.59765625" customWidth="1"/>
  </cols>
  <sheetData>
    <row r="1" spans="1:10" x14ac:dyDescent="0.3">
      <c r="A1" t="s">
        <v>78</v>
      </c>
      <c r="B1">
        <v>400</v>
      </c>
    </row>
    <row r="3" spans="1:10" ht="15" x14ac:dyDescent="0.3">
      <c r="A3" s="37" t="s">
        <v>67</v>
      </c>
      <c r="B3" s="37"/>
      <c r="E3" t="s">
        <v>87</v>
      </c>
    </row>
    <row r="4" spans="1:10" x14ac:dyDescent="0.3">
      <c r="A4" s="18" t="s">
        <v>63</v>
      </c>
      <c r="B4" s="18" t="s">
        <v>64</v>
      </c>
    </row>
    <row r="5" spans="1:10" x14ac:dyDescent="0.3">
      <c r="A5" s="19" t="s">
        <v>76</v>
      </c>
      <c r="B5" s="19" t="s">
        <v>77</v>
      </c>
      <c r="E5" t="s">
        <v>79</v>
      </c>
    </row>
    <row r="6" spans="1:10" x14ac:dyDescent="0.3">
      <c r="D6" s="31" t="s">
        <v>88</v>
      </c>
      <c r="E6" s="31" t="s">
        <v>80</v>
      </c>
      <c r="F6" s="31" t="s">
        <v>63</v>
      </c>
      <c r="G6" s="32" t="s">
        <v>81</v>
      </c>
      <c r="H6" s="31" t="s">
        <v>82</v>
      </c>
      <c r="I6" s="31" t="s">
        <v>85</v>
      </c>
    </row>
    <row r="7" spans="1:10" x14ac:dyDescent="0.3">
      <c r="D7" s="27">
        <v>1</v>
      </c>
      <c r="E7" s="28">
        <v>500</v>
      </c>
      <c r="F7" s="28">
        <v>40</v>
      </c>
      <c r="G7" s="29">
        <v>10000000</v>
      </c>
      <c r="H7" s="28" t="s">
        <v>83</v>
      </c>
      <c r="I7" s="28"/>
    </row>
    <row r="8" spans="1:10" x14ac:dyDescent="0.3">
      <c r="D8" s="27">
        <v>2</v>
      </c>
      <c r="E8" s="28">
        <v>450</v>
      </c>
      <c r="F8" s="28">
        <v>90</v>
      </c>
      <c r="G8" s="29">
        <v>5000000</v>
      </c>
      <c r="H8" s="28" t="s">
        <v>83</v>
      </c>
      <c r="I8" s="28"/>
    </row>
    <row r="9" spans="1:10" ht="78" x14ac:dyDescent="0.3">
      <c r="D9" s="28">
        <v>3</v>
      </c>
      <c r="E9" s="28">
        <v>600</v>
      </c>
      <c r="F9" s="28">
        <v>62</v>
      </c>
      <c r="G9" s="29">
        <v>11000000</v>
      </c>
      <c r="H9" s="28" t="s">
        <v>84</v>
      </c>
      <c r="I9" s="30" t="s">
        <v>86</v>
      </c>
      <c r="J9" s="33" t="s">
        <v>89</v>
      </c>
    </row>
    <row r="10" spans="1:10" x14ac:dyDescent="0.3">
      <c r="D10" s="27">
        <v>4</v>
      </c>
      <c r="E10" s="28">
        <v>300</v>
      </c>
      <c r="F10" s="28">
        <v>30</v>
      </c>
      <c r="G10" s="29">
        <v>5000000</v>
      </c>
      <c r="H10" s="28" t="s">
        <v>84</v>
      </c>
      <c r="I10" s="28"/>
    </row>
  </sheetData>
  <mergeCells count="1">
    <mergeCell ref="A3:B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MATRIX</vt:lpstr>
      <vt:lpstr>Simulasi Skoring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Business Mikro Division</dc:creator>
  <cp:lastModifiedBy>Parman</cp:lastModifiedBy>
  <dcterms:created xsi:type="dcterms:W3CDTF">2025-08-04T14:23:46Z</dcterms:created>
  <dcterms:modified xsi:type="dcterms:W3CDTF">2026-03-27T06:42:55Z</dcterms:modified>
</cp:coreProperties>
</file>